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ert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<sst xmlns="http://schemas.openxmlformats.org/spreadsheetml/2006/main" count="42" uniqueCount="40">
  <si>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SOC Home Lab — Alert Log</t>
  </si>
  <si>
    <t xml:space="preserve">Legend: yellow cells are inputs to fill in per alert. All latency/time columns calculate automatically.</t>
  </si>
  <si>
    <t xml:space="preserve">Alert ID</t>
  </si>
  <si>
    <t xml:space="preserve">Date</t>
  </si>
  <si>
    <t xml:space="preserve">Category</t>
  </si>
  <si>
    <t xml:space="preserve">Severity</t>
  </si>
  <si>
    <t xml:space="preserve">Time Occurred</t>
  </si>
  <si>
    <t xml:space="preserve">Time Detected</t>
  </si>
  <si>
    <t xml:space="preserve">Time Triaged</t>
  </si>
  <si>
    <t xml:space="preserve">Time Contained</t>
  </si>
  <si>
    <t xml:space="preserve">Detection Latency (min)</t>
  </si>
  <si>
    <t xml:space="preserve">Triage Latency (min)</t>
  </si>
  <si>
    <t xml:space="preserve">Containment Latency (min)</t>
  </si>
  <si>
    <t xml:space="preserve">Verdict</t>
  </si>
  <si>
    <t xml:space="preserve">SOC-001</t>
  </si>
  <si>
    <t xml:space="preserve">2026-01-15</t>
  </si>
  <si>
    <t xml:space="preserve">Failed Logins</t>
  </si>
  <si>
    <t xml:space="preserve">Medium</t>
  </si>
  <si>
    <t xml:space="preserve">08:12:00</t>
  </si>
  <si>
    <t xml:space="preserve">08:14:30</t>
  </si>
  <si>
    <t xml:space="preserve">08:20:00</t>
  </si>
  <si>
    <t xml:space="preserve">08:35:00</t>
  </si>
  <si>
    <t xml:space="preserve">True Positive</t>
  </si>
  <si>
    <t xml:space="preserve">SOC Home Lab — Metrics Summary</t>
  </si>
  <si>
    <t xml:space="preserve">All figures pull automatically from the Alert Log sheet — do not hardcode values here.</t>
  </si>
  <si>
    <t xml:space="preserve">Metric</t>
  </si>
  <si>
    <t xml:space="preserve">Value</t>
  </si>
  <si>
    <t xml:space="preserve">Total Alerts Logged</t>
  </si>
  <si>
    <t xml:space="preserve">True Positives</t>
  </si>
  <si>
    <t xml:space="preserve">False Positives</t>
  </si>
  <si>
    <t xml:space="preserve">Benign True Positives</t>
  </si>
  <si>
    <t xml:space="preserve">False Positive Rate</t>
  </si>
  <si>
    <t xml:space="preserve">Avg. Detection Latency (min)</t>
  </si>
  <si>
    <t xml:space="preserve">Avg. Triage Latency (min)</t>
  </si>
  <si>
    <t xml:space="preserve">Avg. Containment Latency (min) — MTTR</t>
  </si>
  <si>
    <t xml:space="preserve">Alerts by Category</t>
  </si>
  <si>
    <t xml:space="preserve">Count</t>
  </si>
  <si>
    <t xml:space="preserve">PowerShell</t>
  </si>
  <si>
    <t xml:space="preserve">Account Creation</t>
  </si>
  <si>
    <t xml:space="preserve">Other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</si>
</sst>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hh:mm:ss"/>
    <numFmt numFmtId="167" formatCode="0.0"/>
    <numFmt numFmtId="168" formatCode="General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8" min="5" style="1" width="14"/>
    <col collapsed="false" customWidth="true" hidden="false" outlineLevel="0" max="10" min="9" style="1" width="16"/>
    <col collapsed="false" customWidth="true" hidden="false" outlineLevel="0" max="11" min="11" style="1" width="18"/>
    <col collapsed="false" customWidth="true" hidden="false" outlineLevel="0" max="12" min="1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true" outlineLevel="0" collapsed="false">
      <c r="A5" s="5" t="s">
        <v>14</v>
      </c>
      <c r="B5" s="6" t="s">
        <v>15</v>
      </c>
      <c r="C5" s="5" t="s">
        <v>16</v>
      </c>
      <c r="D5" s="5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8" t="n">
        <f aca="false">IF(OR(E5="",F5=""),"",(F5-E5)*1440)</f>
        <v>2.49999999999999</v>
      </c>
      <c r="J5" s="8" t="n">
        <f aca="false">IF(OR(F5="",G5=""),"",(G5-F5)*1440)</f>
        <v>5.49999999999998</v>
      </c>
      <c r="K5" s="8" t="n">
        <f aca="false">IF(OR(G5="",H5=""),"",(H5-G5)*1440)</f>
        <v>15</v>
      </c>
      <c r="L5" s="5" t="s">
        <v>22</v>
      </c>
    </row>
    <row r="6" customFormat="false" ht="15" hidden="false" customHeight="true" outlineLevel="0" collapsed="false">
      <c r="A6" s="5"/>
      <c r="B6" s="6"/>
      <c r="C6" s="5"/>
      <c r="D6" s="5"/>
      <c r="E6" s="7"/>
      <c r="F6" s="7"/>
      <c r="G6" s="7"/>
      <c r="H6" s="7"/>
      <c r="I6" s="8" t="str">
        <f aca="false">IF(OR(E6="",F6=""),"",(F6-E6)*1440)</f>
        <v/>
      </c>
      <c r="J6" s="8" t="str">
        <f aca="false">IF(OR(F6="",G6=""),"",(G6-F6)*1440)</f>
        <v/>
      </c>
      <c r="K6" s="8" t="str">
        <f aca="false">IF(OR(G6="",H6=""),"",(H6-G6)*1440)</f>
        <v/>
      </c>
      <c r="L6" s="5"/>
    </row>
    <row r="7" customFormat="false" ht="15" hidden="false" customHeight="true" outlineLevel="0" collapsed="false">
      <c r="A7" s="5"/>
      <c r="B7" s="6"/>
      <c r="C7" s="5"/>
      <c r="D7" s="5"/>
      <c r="E7" s="7"/>
      <c r="F7" s="7"/>
      <c r="G7" s="7"/>
      <c r="H7" s="7"/>
      <c r="I7" s="8" t="str">
        <f aca="false">IF(OR(E7="",F7=""),"",(F7-E7)*1440)</f>
        <v/>
      </c>
      <c r="J7" s="8" t="str">
        <f aca="false">IF(OR(F7="",G7=""),"",(G7-F7)*1440)</f>
        <v/>
      </c>
      <c r="K7" s="8" t="str">
        <f aca="false">IF(OR(G7="",H7=""),"",(H7-G7)*1440)</f>
        <v/>
      </c>
      <c r="L7" s="5"/>
    </row>
    <row r="8" customFormat="false" ht="15" hidden="false" customHeight="true" outlineLevel="0" collapsed="false">
      <c r="A8" s="5"/>
      <c r="B8" s="6"/>
      <c r="C8" s="5"/>
      <c r="D8" s="5"/>
      <c r="E8" s="7"/>
      <c r="F8" s="7"/>
      <c r="G8" s="7"/>
      <c r="H8" s="7"/>
      <c r="I8" s="8" t="str">
        <f aca="false">IF(OR(E8="",F8=""),"",(F8-E8)*1440)</f>
        <v/>
      </c>
      <c r="J8" s="8" t="str">
        <f aca="false">IF(OR(F8="",G8=""),"",(G8-F8)*1440)</f>
        <v/>
      </c>
      <c r="K8" s="8" t="str">
        <f aca="false">IF(OR(G8="",H8=""),"",(H8-G8)*1440)</f>
        <v/>
      </c>
      <c r="L8" s="5"/>
    </row>
    <row r="9" customFormat="false" ht="15" hidden="false" customHeight="true" outlineLevel="0" collapsed="false">
      <c r="A9" s="5"/>
      <c r="B9" s="6"/>
      <c r="C9" s="5"/>
      <c r="D9" s="5"/>
      <c r="E9" s="7"/>
      <c r="F9" s="7"/>
      <c r="G9" s="7"/>
      <c r="H9" s="7"/>
      <c r="I9" s="8" t="str">
        <f aca="false">IF(OR(E9="",F9=""),"",(F9-E9)*1440)</f>
        <v/>
      </c>
      <c r="J9" s="8" t="str">
        <f aca="false">IF(OR(F9="",G9=""),"",(G9-F9)*1440)</f>
        <v/>
      </c>
      <c r="K9" s="8" t="str">
        <f aca="false">IF(OR(G9="",H9=""),"",(H9-G9)*1440)</f>
        <v/>
      </c>
      <c r="L9" s="5"/>
    </row>
    <row r="10" customFormat="false" ht="15" hidden="false" customHeight="true" outlineLevel="0" collapsed="false">
      <c r="A10" s="5"/>
      <c r="B10" s="6"/>
      <c r="C10" s="5"/>
      <c r="D10" s="5"/>
      <c r="E10" s="7"/>
      <c r="F10" s="7"/>
      <c r="G10" s="7"/>
      <c r="H10" s="7"/>
      <c r="I10" s="8" t="str">
        <f aca="false">IF(OR(E10="",F10=""),"",(F10-E10)*1440)</f>
        <v/>
      </c>
      <c r="J10" s="8" t="str">
        <f aca="false">IF(OR(F10="",G10=""),"",(G10-F10)*1440)</f>
        <v/>
      </c>
      <c r="K10" s="8" t="str">
        <f aca="false">IF(OR(G10="",H10=""),"",(H10-G10)*1440)</f>
        <v/>
      </c>
      <c r="L10" s="5"/>
    </row>
    <row r="11" customFormat="false" ht="15" hidden="false" customHeight="true" outlineLevel="0" collapsed="false">
      <c r="A11" s="5"/>
      <c r="B11" s="6"/>
      <c r="C11" s="5"/>
      <c r="D11" s="5"/>
      <c r="E11" s="7"/>
      <c r="F11" s="7"/>
      <c r="G11" s="7"/>
      <c r="H11" s="7"/>
      <c r="I11" s="8" t="str">
        <f aca="false">IF(OR(E11="",F11=""),"",(F11-E11)*1440)</f>
        <v/>
      </c>
      <c r="J11" s="8" t="str">
        <f aca="false">IF(OR(F11="",G11=""),"",(G11-F11)*1440)</f>
        <v/>
      </c>
      <c r="K11" s="8" t="str">
        <f aca="false">IF(OR(G11="",H11=""),"",(H11-G11)*1440)</f>
        <v/>
      </c>
      <c r="L11" s="5"/>
    </row>
    <row r="12" customFormat="false" ht="15" hidden="false" customHeight="true" outlineLevel="0" collapsed="false">
      <c r="A12" s="5"/>
      <c r="B12" s="6"/>
      <c r="C12" s="5"/>
      <c r="D12" s="5"/>
      <c r="E12" s="7"/>
      <c r="F12" s="7"/>
      <c r="G12" s="7"/>
      <c r="H12" s="7"/>
      <c r="I12" s="8" t="str">
        <f aca="false">IF(OR(E12="",F12=""),"",(F12-E12)*1440)</f>
        <v/>
      </c>
      <c r="J12" s="8" t="str">
        <f aca="false">IF(OR(F12="",G12=""),"",(G12-F12)*1440)</f>
        <v/>
      </c>
      <c r="K12" s="8" t="str">
        <f aca="false">IF(OR(G12="",H12=""),"",(H12-G12)*1440)</f>
        <v/>
      </c>
      <c r="L12" s="5"/>
    </row>
    <row r="13" customFormat="false" ht="15" hidden="false" customHeight="true" outlineLevel="0" collapsed="false">
      <c r="A13" s="5"/>
      <c r="B13" s="6"/>
      <c r="C13" s="5"/>
      <c r="D13" s="5"/>
      <c r="E13" s="7"/>
      <c r="F13" s="7"/>
      <c r="G13" s="7"/>
      <c r="H13" s="7"/>
      <c r="I13" s="8" t="str">
        <f aca="false">IF(OR(E13="",F13=""),"",(F13-E13)*1440)</f>
        <v/>
      </c>
      <c r="J13" s="8" t="str">
        <f aca="false">IF(OR(F13="",G13=""),"",(G13-F13)*1440)</f>
        <v/>
      </c>
      <c r="K13" s="8" t="str">
        <f aca="false">IF(OR(G13="",H13=""),"",(H13-G13)*1440)</f>
        <v/>
      </c>
      <c r="L13" s="5"/>
    </row>
    <row r="14" customFormat="false" ht="15" hidden="false" customHeight="true" outlineLevel="0" collapsed="false">
      <c r="A14" s="5"/>
      <c r="B14" s="6"/>
      <c r="C14" s="5"/>
      <c r="D14" s="5"/>
      <c r="E14" s="7"/>
      <c r="F14" s="7"/>
      <c r="G14" s="7"/>
      <c r="H14" s="7"/>
      <c r="I14" s="8" t="str">
        <f aca="false">IF(OR(E14="",F14=""),"",(F14-E14)*1440)</f>
        <v/>
      </c>
      <c r="J14" s="8" t="str">
        <f aca="false">IF(OR(F14="",G14=""),"",(G14-F14)*1440)</f>
        <v/>
      </c>
      <c r="K14" s="8" t="str">
        <f aca="false">IF(OR(G14="",H14=""),"",(H14-G14)*1440)</f>
        <v/>
      </c>
      <c r="L14" s="5"/>
    </row>
    <row r="15" customFormat="false" ht="15" hidden="false" customHeight="true" outlineLevel="0" collapsed="false">
      <c r="A15" s="5"/>
      <c r="B15" s="6"/>
      <c r="C15" s="5"/>
      <c r="D15" s="5"/>
      <c r="E15" s="7"/>
      <c r="F15" s="7"/>
      <c r="G15" s="7"/>
      <c r="H15" s="7"/>
      <c r="I15" s="8" t="str">
        <f aca="false">IF(OR(E15="",F15=""),"",(F15-E15)*1440)</f>
        <v/>
      </c>
      <c r="J15" s="8" t="str">
        <f aca="false">IF(OR(F15="",G15=""),"",(G15-F15)*1440)</f>
        <v/>
      </c>
      <c r="K15" s="8" t="str">
        <f aca="false">IF(OR(G15="",H15=""),"",(H15-G15)*1440)</f>
        <v/>
      </c>
      <c r="L15" s="5"/>
    </row>
    <row r="16" customFormat="false" ht="15" hidden="false" customHeight="true" outlineLevel="0" collapsed="false">
      <c r="A16" s="5"/>
      <c r="B16" s="6"/>
      <c r="C16" s="5"/>
      <c r="D16" s="5"/>
      <c r="E16" s="7"/>
      <c r="F16" s="7"/>
      <c r="G16" s="7"/>
      <c r="H16" s="7"/>
      <c r="I16" s="8" t="str">
        <f aca="false">IF(OR(E16="",F16=""),"",(F16-E16)*1440)</f>
        <v/>
      </c>
      <c r="J16" s="8" t="str">
        <f aca="false">IF(OR(F16="",G16=""),"",(G16-F16)*1440)</f>
        <v/>
      </c>
      <c r="K16" s="8" t="str">
        <f aca="false">IF(OR(G16="",H16=""),"",(H16-G16)*1440)</f>
        <v/>
      </c>
      <c r="L16" s="5"/>
    </row>
    <row r="17" customFormat="false" ht="15" hidden="false" customHeight="true" outlineLevel="0" collapsed="false">
      <c r="A17" s="5"/>
      <c r="B17" s="6"/>
      <c r="C17" s="5"/>
      <c r="D17" s="5"/>
      <c r="E17" s="7"/>
      <c r="F17" s="7"/>
      <c r="G17" s="7"/>
      <c r="H17" s="7"/>
      <c r="I17" s="8" t="str">
        <f aca="false">IF(OR(E17="",F17=""),"",(F17-E17)*1440)</f>
        <v/>
      </c>
      <c r="J17" s="8" t="str">
        <f aca="false">IF(OR(F17="",G17=""),"",(G17-F17)*1440)</f>
        <v/>
      </c>
      <c r="K17" s="8" t="str">
        <f aca="false">IF(OR(G17="",H17=""),"",(H17-G17)*1440)</f>
        <v/>
      </c>
      <c r="L17" s="5"/>
    </row>
    <row r="18" customFormat="false" ht="15" hidden="false" customHeight="true" outlineLevel="0" collapsed="false">
      <c r="A18" s="5"/>
      <c r="B18" s="6"/>
      <c r="C18" s="5"/>
      <c r="D18" s="5"/>
      <c r="E18" s="7"/>
      <c r="F18" s="7"/>
      <c r="G18" s="7"/>
      <c r="H18" s="7"/>
      <c r="I18" s="8" t="str">
        <f aca="false">IF(OR(E18="",F18=""),"",(F18-E18)*1440)</f>
        <v/>
      </c>
      <c r="J18" s="8" t="str">
        <f aca="false">IF(OR(F18="",G18=""),"",(G18-F18)*1440)</f>
        <v/>
      </c>
      <c r="K18" s="8" t="str">
        <f aca="false">IF(OR(G18="",H18=""),"",(H18-G18)*1440)</f>
        <v/>
      </c>
      <c r="L18" s="5"/>
    </row>
    <row r="19" customFormat="false" ht="15" hidden="false" customHeight="true" outlineLevel="0" collapsed="false">
      <c r="A19" s="5"/>
      <c r="B19" s="6"/>
      <c r="C19" s="5"/>
      <c r="D19" s="5"/>
      <c r="E19" s="7"/>
      <c r="F19" s="7"/>
      <c r="G19" s="7"/>
      <c r="H19" s="7"/>
      <c r="I19" s="8" t="str">
        <f aca="false">IF(OR(E19="",F19=""),"",(F19-E19)*1440)</f>
        <v/>
      </c>
      <c r="J19" s="8" t="str">
        <f aca="false">IF(OR(F19="",G19=""),"",(G19-F19)*1440)</f>
        <v/>
      </c>
      <c r="K19" s="8" t="str">
        <f aca="false">IF(OR(G19="",H19=""),"",(H19-G19)*1440)</f>
        <v/>
      </c>
      <c r="L19" s="5"/>
    </row>
    <row r="20" customFormat="false" ht="15" hidden="false" customHeight="true" outlineLevel="0" collapsed="false">
      <c r="A20" s="5"/>
      <c r="B20" s="6"/>
      <c r="C20" s="5"/>
      <c r="D20" s="5"/>
      <c r="E20" s="7"/>
      <c r="F20" s="7"/>
      <c r="G20" s="7"/>
      <c r="H20" s="7"/>
      <c r="I20" s="8" t="str">
        <f aca="false">IF(OR(E20="",F20=""),"",(F20-E20)*1440)</f>
        <v/>
      </c>
      <c r="J20" s="8" t="str">
        <f aca="false">IF(OR(F20="",G20=""),"",(G20-F20)*1440)</f>
        <v/>
      </c>
      <c r="K20" s="8" t="str">
        <f aca="false">IF(OR(G20="",H20=""),"",(H20-G20)*1440)</f>
        <v/>
      </c>
      <c r="L20" s="5"/>
    </row>
    <row r="21" customFormat="false" ht="15" hidden="false" customHeight="true" outlineLevel="0" collapsed="false">
      <c r="A21" s="5"/>
      <c r="B21" s="6"/>
      <c r="C21" s="5"/>
      <c r="D21" s="5"/>
      <c r="E21" s="7"/>
      <c r="F21" s="7"/>
      <c r="G21" s="7"/>
      <c r="H21" s="7"/>
      <c r="I21" s="8" t="str">
        <f aca="false">IF(OR(E21="",F21=""),"",(F21-E21)*1440)</f>
        <v/>
      </c>
      <c r="J21" s="8" t="str">
        <f aca="false">IF(OR(F21="",G21=""),"",(G21-F21)*1440)</f>
        <v/>
      </c>
      <c r="K21" s="8" t="str">
        <f aca="false">IF(OR(G21="",H21=""),"",(H21-G21)*1440)</f>
        <v/>
      </c>
      <c r="L21" s="5"/>
    </row>
    <row r="22" customFormat="false" ht="15" hidden="false" customHeight="true" outlineLevel="0" collapsed="false">
      <c r="A22" s="5"/>
      <c r="B22" s="6"/>
      <c r="C22" s="5"/>
      <c r="D22" s="5"/>
      <c r="E22" s="7"/>
      <c r="F22" s="7"/>
      <c r="G22" s="7"/>
      <c r="H22" s="7"/>
      <c r="I22" s="8" t="str">
        <f aca="false">IF(OR(E22="",F22=""),"",(F22-E22)*1440)</f>
        <v/>
      </c>
      <c r="J22" s="8" t="str">
        <f aca="false">IF(OR(F22="",G22=""),"",(G22-F22)*1440)</f>
        <v/>
      </c>
      <c r="K22" s="8" t="str">
        <f aca="false">IF(OR(G22="",H22=""),"",(H22-G22)*1440)</f>
        <v/>
      </c>
      <c r="L22" s="5"/>
    </row>
    <row r="23" customFormat="false" ht="15" hidden="false" customHeight="true" outlineLevel="0" collapsed="false">
      <c r="A23" s="5"/>
      <c r="B23" s="6"/>
      <c r="C23" s="5"/>
      <c r="D23" s="5"/>
      <c r="E23" s="7"/>
      <c r="F23" s="7"/>
      <c r="G23" s="7"/>
      <c r="H23" s="7"/>
      <c r="I23" s="8" t="str">
        <f aca="false">IF(OR(E23="",F23=""),"",(F23-E23)*1440)</f>
        <v/>
      </c>
      <c r="J23" s="8" t="str">
        <f aca="false">IF(OR(F23="",G23=""),"",(G23-F23)*1440)</f>
        <v/>
      </c>
      <c r="K23" s="8" t="str">
        <f aca="false">IF(OR(G23="",H23=""),"",(H23-G23)*1440)</f>
        <v/>
      </c>
      <c r="L23" s="5"/>
    </row>
    <row r="24" customFormat="false" ht="15" hidden="false" customHeight="true" outlineLevel="0" collapsed="false">
      <c r="A24" s="5"/>
      <c r="B24" s="6"/>
      <c r="C24" s="5"/>
      <c r="D24" s="5"/>
      <c r="E24" s="7"/>
      <c r="F24" s="7"/>
      <c r="G24" s="7"/>
      <c r="H24" s="7"/>
      <c r="I24" s="8" t="str">
        <f aca="false">IF(OR(E24="",F24=""),"",(F24-E24)*1440)</f>
        <v/>
      </c>
      <c r="J24" s="8" t="str">
        <f aca="false">IF(OR(F24="",G24=""),"",(G24-F24)*1440)</f>
        <v/>
      </c>
      <c r="K24" s="8" t="str">
        <f aca="false">IF(OR(G24="",H24=""),"",(H24-G24)*1440)</f>
        <v/>
      </c>
      <c r="L24" s="5"/>
    </row>
    <row r="25" customFormat="false" ht="15" hidden="false" customHeight="true" outlineLevel="0" collapsed="false">
      <c r="A25" s="5"/>
      <c r="B25" s="6"/>
      <c r="C25" s="5"/>
      <c r="D25" s="5"/>
      <c r="E25" s="7"/>
      <c r="F25" s="7"/>
      <c r="G25" s="7"/>
      <c r="H25" s="7"/>
      <c r="I25" s="8" t="str">
        <f aca="false">IF(OR(E25="",F25=""),"",(F25-E25)*1440)</f>
        <v/>
      </c>
      <c r="J25" s="8" t="str">
        <f aca="false">IF(OR(F25="",G25=""),"",(G25-F25)*1440)</f>
        <v/>
      </c>
      <c r="K25" s="8" t="str">
        <f aca="false">IF(OR(G25="",H25=""),"",(H25-G25)*1440)</f>
        <v/>
      </c>
      <c r="L25" s="5"/>
    </row>
    <row r="26" customFormat="false" ht="15" hidden="false" customHeight="true" outlineLevel="0" collapsed="false">
      <c r="A26" s="5"/>
      <c r="B26" s="6"/>
      <c r="C26" s="5"/>
      <c r="D26" s="5"/>
      <c r="E26" s="7"/>
      <c r="F26" s="7"/>
      <c r="G26" s="7"/>
      <c r="H26" s="7"/>
      <c r="I26" s="8" t="str">
        <f aca="false">IF(OR(E26="",F26=""),"",(F26-E26)*1440)</f>
        <v/>
      </c>
      <c r="J26" s="8" t="str">
        <f aca="false">IF(OR(F26="",G26=""),"",(G26-F26)*1440)</f>
        <v/>
      </c>
      <c r="K26" s="8" t="str">
        <f aca="false">IF(OR(G26="",H26=""),"",(H26-G26)*1440)</f>
        <v/>
      </c>
      <c r="L26" s="5"/>
    </row>
    <row r="27" customFormat="false" ht="15" hidden="false" customHeight="true" outlineLevel="0" collapsed="false">
      <c r="A27" s="5"/>
      <c r="B27" s="6"/>
      <c r="C27" s="5"/>
      <c r="D27" s="5"/>
      <c r="E27" s="7"/>
      <c r="F27" s="7"/>
      <c r="G27" s="7"/>
      <c r="H27" s="7"/>
      <c r="I27" s="8" t="str">
        <f aca="false">IF(OR(E27="",F27=""),"",(F27-E27)*1440)</f>
        <v/>
      </c>
      <c r="J27" s="8" t="str">
        <f aca="false">IF(OR(F27="",G27=""),"",(G27-F27)*1440)</f>
        <v/>
      </c>
      <c r="K27" s="8" t="str">
        <f aca="false">IF(OR(G27="",H27=""),"",(H27-G27)*1440)</f>
        <v/>
      </c>
      <c r="L27" s="5"/>
    </row>
    <row r="28" customFormat="false" ht="15" hidden="false" customHeight="true" outlineLevel="0" collapsed="false">
      <c r="A28" s="5"/>
      <c r="B28" s="6"/>
      <c r="C28" s="5"/>
      <c r="D28" s="5"/>
      <c r="E28" s="7"/>
      <c r="F28" s="7"/>
      <c r="G28" s="7"/>
      <c r="H28" s="7"/>
      <c r="I28" s="8" t="str">
        <f aca="false">IF(OR(E28="",F28=""),"",(F28-E28)*1440)</f>
        <v/>
      </c>
      <c r="J28" s="8" t="str">
        <f aca="false">IF(OR(F28="",G28=""),"",(G28-F28)*1440)</f>
        <v/>
      </c>
      <c r="K28" s="8" t="str">
        <f aca="false">IF(OR(G28="",H28=""),"",(H28-G28)*1440)</f>
        <v/>
      </c>
      <c r="L28" s="5"/>
    </row>
    <row r="29" customFormat="false" ht="15" hidden="false" customHeight="true" outlineLevel="0" collapsed="false">
      <c r="A29" s="5"/>
      <c r="B29" s="6"/>
      <c r="C29" s="5"/>
      <c r="D29" s="5"/>
      <c r="E29" s="7"/>
      <c r="F29" s="7"/>
      <c r="G29" s="7"/>
      <c r="H29" s="7"/>
      <c r="I29" s="8" t="str">
        <f aca="false">IF(OR(E29="",F29=""),"",(F29-E29)*1440)</f>
        <v/>
      </c>
      <c r="J29" s="8" t="str">
        <f aca="false">IF(OR(F29="",G29=""),"",(G29-F29)*1440)</f>
        <v/>
      </c>
      <c r="K29" s="8" t="str">
        <f aca="false">IF(OR(G29="",H29=""),"",(H29-G29)*1440)</f>
        <v/>
      </c>
      <c r="L29" s="5"/>
    </row>
    <row r="30" customFormat="false" ht="15" hidden="false" customHeight="true" outlineLevel="0" collapsed="false">
      <c r="A30" s="5"/>
      <c r="B30" s="6"/>
      <c r="C30" s="5"/>
      <c r="D30" s="5"/>
      <c r="E30" s="7"/>
      <c r="F30" s="7"/>
      <c r="G30" s="7"/>
      <c r="H30" s="7"/>
      <c r="I30" s="8" t="str">
        <f aca="false">IF(OR(E30="",F30=""),"",(F30-E30)*1440)</f>
        <v/>
      </c>
      <c r="J30" s="8" t="str">
        <f aca="false">IF(OR(F30="",G30=""),"",(G30-F30)*1440)</f>
        <v/>
      </c>
      <c r="K30" s="8" t="str">
        <f aca="false">IF(OR(G30="",H30=""),"",(H30-G30)*1440)</f>
        <v/>
      </c>
      <c r="L30" s="5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9" t="s">
        <v>23</v>
      </c>
      <c r="B1" s="9"/>
      <c r="C1" s="9"/>
      <c r="D1" s="9"/>
    </row>
    <row r="2" customFormat="false" ht="15" hidden="false" customHeight="false" outlineLevel="0" collapsed="false">
      <c r="A2" s="10" t="s">
        <v>24</v>
      </c>
      <c r="B2" s="10"/>
      <c r="C2" s="10"/>
      <c r="D2" s="10"/>
    </row>
    <row r="4" customFormat="false" ht="15" hidden="false" customHeight="false" outlineLevel="0" collapsed="false">
      <c r="A4" s="4" t="s">
        <v>25</v>
      </c>
      <c r="B4" s="4" t="s">
        <v>26</v>
      </c>
    </row>
    <row r="5" customFormat="false" ht="15" hidden="false" customHeight="false" outlineLevel="0" collapsed="false">
      <c r="A5" s="11" t="s">
        <v>27</v>
      </c>
      <c r="B5" s="12" t="n">
        <f aca="false">COUNTA('Alert Log'!A5:A1000)</f>
        <v>1</v>
      </c>
    </row>
    <row r="6" customFormat="false" ht="15" hidden="false" customHeight="false" outlineLevel="0" collapsed="false">
      <c r="A6" s="11" t="s">
        <v>28</v>
      </c>
      <c r="B6" s="12" t="n">
        <f aca="false">COUNTIF('Alert Log'!L5:L1000,"True Positive")</f>
        <v>1</v>
      </c>
    </row>
    <row r="7" customFormat="false" ht="15" hidden="false" customHeight="false" outlineLevel="0" collapsed="false">
      <c r="A7" s="11" t="s">
        <v>29</v>
      </c>
      <c r="B7" s="12" t="n">
        <f aca="false">COUNTIF('Alert Log'!L5:L1000,"False Positive")</f>
        <v>0</v>
      </c>
    </row>
    <row r="8" customFormat="false" ht="15" hidden="false" customHeight="false" outlineLevel="0" collapsed="false">
      <c r="A8" s="11" t="s">
        <v>30</v>
      </c>
      <c r="B8" s="12" t="n">
        <f aca="false">COUNTIF('Alert Log'!L5:L1000,"Benign True Positive")</f>
        <v>0</v>
      </c>
    </row>
    <row r="9" customFormat="false" ht="15" hidden="false" customHeight="false" outlineLevel="0" collapsed="false">
      <c r="A9" s="11" t="s">
        <v>31</v>
      </c>
      <c r="B9" s="13" t="n">
        <f aca="false">IF(B5=0,"",B7/B5)</f>
        <v>0</v>
      </c>
    </row>
    <row r="10" customFormat="false" ht="15" hidden="false" customHeight="false" outlineLevel="0" collapsed="false">
      <c r="A10" s="11" t="s">
        <v>32</v>
      </c>
      <c r="B10" s="14" t="n">
        <f aca="false">IFERROR(AVERAGE('Alert Log'!I5:I1000),"")</f>
        <v>2.49999999999999</v>
      </c>
    </row>
    <row r="11" customFormat="false" ht="15" hidden="false" customHeight="false" outlineLevel="0" collapsed="false">
      <c r="A11" s="11" t="s">
        <v>33</v>
      </c>
      <c r="B11" s="14" t="n">
        <f aca="false">IFERROR(AVERAGE('Alert Log'!J5:J1000),"")</f>
        <v>5.49999999999998</v>
      </c>
    </row>
    <row r="12" customFormat="false" ht="15" hidden="false" customHeight="false" outlineLevel="0" collapsed="false">
      <c r="A12" s="11" t="s">
        <v>34</v>
      </c>
      <c r="B12" s="14" t="n">
        <f aca="false">IFERROR(AVERAGE('Alert Log'!K5:K1000),"")</f>
        <v>15</v>
      </c>
    </row>
    <row r="14" customFormat="false" ht="15" hidden="false" customHeight="false" outlineLevel="0" collapsed="false">
      <c r="A14" s="15" t="s">
        <v>35</v>
      </c>
    </row>
    <row r="15" customFormat="false" ht="15" hidden="false" customHeight="false" outlineLevel="0" collapsed="false">
      <c r="A15" s="4" t="s">
        <v>4</v>
      </c>
      <c r="B15" s="4" t="s">
        <v>36</v>
      </c>
    </row>
    <row r="16" customFormat="false" ht="15" hidden="false" customHeight="false" outlineLevel="0" collapsed="false">
      <c r="A16" s="11" t="s">
        <v>16</v>
      </c>
      <c r="B16" s="12" t="n">
        <f aca="false">COUNTIF('Alert Log'!C5:C1000,"Failed Logins")</f>
        <v>1</v>
      </c>
    </row>
    <row r="17" customFormat="false" ht="15" hidden="false" customHeight="false" outlineLevel="0" collapsed="false">
      <c r="A17" s="11" t="s">
        <v>37</v>
      </c>
      <c r="B17" s="12" t="n">
        <f aca="false">COUNTIF('Alert Log'!C5:C1000,"PowerShell")</f>
        <v>0</v>
      </c>
    </row>
    <row r="18" customFormat="false" ht="15" hidden="false" customHeight="false" outlineLevel="0" collapsed="false">
      <c r="A18" s="11" t="s">
        <v>38</v>
      </c>
      <c r="B18" s="12" t="n">
        <f aca="false">COUNTIF('Alert Log'!C5:C1000,"Account Creation")</f>
        <v>0</v>
      </c>
    </row>
    <row r="19" customFormat="false" ht="15" hidden="false" customHeight="false" outlineLevel="0" collapsed="false">
      <c r="A19" s="11" t="s">
        <v>39</v>
      </c>
      <c r="B19" s="12" t="n">
        <f aca="false">B5-(B16+B17+B18)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2026-09-12T22:37:20Z</dcterms:created>
  <dc:creator>openpyxl</dc:creator>
  <dc:description/>
  <dc:language>en-US</dc:language>
  <cp:lastModifiedBy/>
  <dcterms:modified xsi:type="dcterms:W3CDTF">2026-09-12T22:38:37Z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